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gbo\Documents\"/>
    </mc:Choice>
  </mc:AlternateContent>
  <xr:revisionPtr revIDLastSave="0" documentId="8_{05FE2952-947C-4218-B814-B443FC973B34}" xr6:coauthVersionLast="47" xr6:coauthVersionMax="47" xr10:uidLastSave="{00000000-0000-0000-0000-000000000000}"/>
  <bookViews>
    <workbookView xWindow="-120" yWindow="-120" windowWidth="29040" windowHeight="15720" activeTab="2" xr2:uid="{13C90E14-D2FD-4415-B902-E208E0A150C8}"/>
  </bookViews>
  <sheets>
    <sheet name="Sheet1" sheetId="1" r:id="rId1"/>
    <sheet name="Inventory Format" sheetId="2" r:id="rId2"/>
    <sheet name="Coconut Inventory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4" i="3" s="1"/>
  <c r="D13" i="3"/>
  <c r="D14" i="3" s="1"/>
  <c r="C15" i="3"/>
  <c r="C16" i="3" s="1"/>
  <c r="C17" i="3"/>
  <c r="C18" i="3" s="1"/>
  <c r="D17" i="3"/>
  <c r="D18" i="3" s="1"/>
  <c r="D19" i="3"/>
  <c r="D20" i="3" s="1"/>
  <c r="C20" i="3"/>
  <c r="C21" i="3"/>
  <c r="D21" i="3" s="1"/>
  <c r="D25" i="3" s="1"/>
  <c r="C22" i="3"/>
  <c r="D22" i="3" s="1"/>
  <c r="D23" i="3"/>
  <c r="D24" i="3"/>
  <c r="C26" i="3"/>
  <c r="D26" i="3" s="1"/>
  <c r="D27" i="3" s="1"/>
  <c r="D28" i="3"/>
  <c r="C29" i="3"/>
  <c r="D29" i="3"/>
  <c r="I7" i="3"/>
  <c r="J7" i="3" s="1"/>
  <c r="I6" i="3"/>
  <c r="J6" i="3" s="1"/>
  <c r="I5" i="3"/>
  <c r="J5" i="3" s="1"/>
  <c r="I4" i="3"/>
  <c r="J4" i="3" s="1"/>
  <c r="I12" i="3"/>
  <c r="C11" i="3"/>
  <c r="D11" i="3" s="1"/>
  <c r="C9" i="3"/>
  <c r="D9" i="3" s="1"/>
  <c r="D4" i="3"/>
  <c r="B28" i="1"/>
  <c r="B29" i="1" s="1"/>
  <c r="B30" i="1" s="1"/>
  <c r="B31" i="1" s="1"/>
  <c r="B15" i="1"/>
  <c r="B16" i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8" i="1"/>
  <c r="B9" i="1"/>
  <c r="B10" i="1" s="1"/>
  <c r="B11" i="1" s="1"/>
  <c r="B12" i="1" s="1"/>
  <c r="B13" i="1" s="1"/>
  <c r="B14" i="1" s="1"/>
  <c r="B7" i="1"/>
  <c r="B6" i="1"/>
  <c r="J8" i="3" l="1"/>
  <c r="D15" i="3"/>
  <c r="D16" i="3" s="1"/>
  <c r="C27" i="3"/>
  <c r="C25" i="3"/>
  <c r="I8" i="3"/>
  <c r="D12" i="3"/>
  <c r="I10" i="3"/>
  <c r="J9" i="3"/>
  <c r="J10" i="3" s="1"/>
  <c r="J11" i="3"/>
  <c r="J12" i="3" s="1"/>
  <c r="C12" i="3"/>
  <c r="D10" i="3"/>
  <c r="C10" i="3"/>
</calcChain>
</file>

<file path=xl/sharedStrings.xml><?xml version="1.0" encoding="utf-8"?>
<sst xmlns="http://schemas.openxmlformats.org/spreadsheetml/2006/main" count="69" uniqueCount="33">
  <si>
    <t>CQ Flake</t>
  </si>
  <si>
    <t>LOT:</t>
  </si>
  <si>
    <t>APR 28 2026</t>
  </si>
  <si>
    <t>APR 29 2026</t>
  </si>
  <si>
    <t>ABR 30 2026</t>
  </si>
  <si>
    <t>MAY 04 2026</t>
  </si>
  <si>
    <t>PLT</t>
  </si>
  <si>
    <t>MAY 05 2026</t>
  </si>
  <si>
    <t>MAY 06 2026</t>
  </si>
  <si>
    <t>MAY 07 2026</t>
  </si>
  <si>
    <t>MAY 11 2026</t>
  </si>
  <si>
    <t>MAY 12 2026</t>
  </si>
  <si>
    <t>INVENTORY</t>
  </si>
  <si>
    <t>PRODUCT NAME</t>
  </si>
  <si>
    <t>QUANTITY</t>
  </si>
  <si>
    <t>LOT</t>
  </si>
  <si>
    <t>MAY 13 2026</t>
  </si>
  <si>
    <t>COCONUT CHIP FB 25 LB</t>
  </si>
  <si>
    <t>WEIGHT</t>
  </si>
  <si>
    <t>COCONUT FLAKE FB 50 LB</t>
  </si>
  <si>
    <t>TOTAL</t>
  </si>
  <si>
    <t>COCONUT FANCY FB 50 LB</t>
  </si>
  <si>
    <t>COCONUT MEDIUM FB 50 LB</t>
  </si>
  <si>
    <t>COCONUT MEDIUM FB 25 LB</t>
  </si>
  <si>
    <t>COCONUT CELEBS MACAROON 25 LB</t>
  </si>
  <si>
    <t>COCONUT CELEBS MEDIUM 25 LB</t>
  </si>
  <si>
    <t>COCONUT FANCY PHILDESCO 80 LB</t>
  </si>
  <si>
    <t>COCONUT PHILDESCO CHIPS 25 LB</t>
  </si>
  <si>
    <t>COCONUT PHILDESCO MEDIUM 25 LB</t>
  </si>
  <si>
    <t>COCONUT VINAPRO MEDIUM 55 LB</t>
  </si>
  <si>
    <t>VINA202524</t>
  </si>
  <si>
    <t>HOT ROOM INVENTORY</t>
  </si>
  <si>
    <t>WAREHOUSE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</si>
</sst>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212C-EB39-4F89-A98D-73C0D49E3AD7}">
  <dimension ref="B3:C31"/>
  <sheetViews>
    <sheetView topLeftCell="A7" workbookViewId="0">
      <selection activeCell="C31" sqref="C31"/>
    </sheetView>
  </sheetViews>
  <sheetFormatPr defaultRowHeight="15" x14ac:dyDescent="0.25"/>
  <cols>
    <col min="2" max="2" width="4.42578125" customWidth="1"/>
    <col min="3" max="3" width="11.85546875" bestFit="1" customWidth="1"/>
  </cols>
  <sheetData>
    <row r="3" spans="2:3" x14ac:dyDescent="0.25">
      <c r="B3" s="2" t="s">
        <v>0</v>
      </c>
      <c r="C3" s="2"/>
    </row>
    <row r="5" spans="2:3" x14ac:dyDescent="0.25">
      <c r="B5" s="1" t="s">
        <v>6</v>
      </c>
      <c r="C5" s="1" t="s">
        <v>1</v>
      </c>
    </row>
    <row r="6" spans="2:3" x14ac:dyDescent="0.25">
      <c r="B6" s="1">
        <f>1</f>
        <v>1</v>
      </c>
      <c r="C6" s="1" t="s">
        <v>2</v>
      </c>
    </row>
    <row r="7" spans="2:3" x14ac:dyDescent="0.25">
      <c r="B7" s="1">
        <f>1+B6</f>
        <v>2</v>
      </c>
      <c r="C7" s="1" t="s">
        <v>3</v>
      </c>
    </row>
    <row r="8" spans="2:3" x14ac:dyDescent="0.25">
      <c r="B8" s="1">
        <f t="shared" ref="B8:B31" si="0">1+B7</f>
        <v>3</v>
      </c>
      <c r="C8" s="1" t="s">
        <v>3</v>
      </c>
    </row>
    <row r="9" spans="2:3" x14ac:dyDescent="0.25">
      <c r="B9" s="1">
        <f t="shared" si="0"/>
        <v>4</v>
      </c>
      <c r="C9" s="1" t="s">
        <v>3</v>
      </c>
    </row>
    <row r="10" spans="2:3" x14ac:dyDescent="0.25">
      <c r="B10" s="1">
        <f t="shared" si="0"/>
        <v>5</v>
      </c>
      <c r="C10" s="1" t="s">
        <v>4</v>
      </c>
    </row>
    <row r="11" spans="2:3" x14ac:dyDescent="0.25">
      <c r="B11" s="1">
        <f t="shared" si="0"/>
        <v>6</v>
      </c>
      <c r="C11" s="1" t="s">
        <v>4</v>
      </c>
    </row>
    <row r="12" spans="2:3" x14ac:dyDescent="0.25">
      <c r="B12" s="1">
        <f t="shared" si="0"/>
        <v>7</v>
      </c>
      <c r="C12" s="1" t="s">
        <v>4</v>
      </c>
    </row>
    <row r="13" spans="2:3" x14ac:dyDescent="0.25">
      <c r="B13" s="1">
        <f t="shared" si="0"/>
        <v>8</v>
      </c>
      <c r="C13" s="1" t="s">
        <v>5</v>
      </c>
    </row>
    <row r="14" spans="2:3" x14ac:dyDescent="0.25">
      <c r="B14" s="1">
        <f t="shared" si="0"/>
        <v>9</v>
      </c>
      <c r="C14" s="1" t="s">
        <v>5</v>
      </c>
    </row>
    <row r="15" spans="2:3" x14ac:dyDescent="0.25">
      <c r="B15" s="1">
        <f t="shared" si="0"/>
        <v>10</v>
      </c>
      <c r="C15" s="1" t="s">
        <v>7</v>
      </c>
    </row>
    <row r="16" spans="2:3" x14ac:dyDescent="0.25">
      <c r="B16" s="1">
        <f t="shared" si="0"/>
        <v>11</v>
      </c>
      <c r="C16" s="1" t="s">
        <v>7</v>
      </c>
    </row>
    <row r="17" spans="2:3" x14ac:dyDescent="0.25">
      <c r="B17" s="1">
        <f t="shared" si="0"/>
        <v>12</v>
      </c>
      <c r="C17" s="1" t="s">
        <v>7</v>
      </c>
    </row>
    <row r="18" spans="2:3" x14ac:dyDescent="0.25">
      <c r="B18" s="1">
        <f t="shared" si="0"/>
        <v>13</v>
      </c>
      <c r="C18" s="1" t="s">
        <v>8</v>
      </c>
    </row>
    <row r="19" spans="2:3" x14ac:dyDescent="0.25">
      <c r="B19" s="1">
        <f t="shared" si="0"/>
        <v>14</v>
      </c>
      <c r="C19" s="1" t="s">
        <v>8</v>
      </c>
    </row>
    <row r="20" spans="2:3" x14ac:dyDescent="0.25">
      <c r="B20" s="1">
        <f t="shared" si="0"/>
        <v>15</v>
      </c>
      <c r="C20" s="1" t="s">
        <v>8</v>
      </c>
    </row>
    <row r="21" spans="2:3" x14ac:dyDescent="0.25">
      <c r="B21" s="1">
        <f t="shared" si="0"/>
        <v>16</v>
      </c>
      <c r="C21" s="1" t="s">
        <v>9</v>
      </c>
    </row>
    <row r="22" spans="2:3" x14ac:dyDescent="0.25">
      <c r="B22" s="1">
        <f t="shared" si="0"/>
        <v>17</v>
      </c>
      <c r="C22" s="1" t="s">
        <v>9</v>
      </c>
    </row>
    <row r="23" spans="2:3" x14ac:dyDescent="0.25">
      <c r="B23" s="1">
        <f t="shared" si="0"/>
        <v>18</v>
      </c>
      <c r="C23" s="1" t="s">
        <v>9</v>
      </c>
    </row>
    <row r="24" spans="2:3" x14ac:dyDescent="0.25">
      <c r="B24" s="1">
        <f t="shared" si="0"/>
        <v>19</v>
      </c>
      <c r="C24" s="1" t="s">
        <v>10</v>
      </c>
    </row>
    <row r="25" spans="2:3" x14ac:dyDescent="0.25">
      <c r="B25" s="1">
        <f t="shared" si="0"/>
        <v>20</v>
      </c>
      <c r="C25" s="1" t="s">
        <v>10</v>
      </c>
    </row>
    <row r="26" spans="2:3" x14ac:dyDescent="0.25">
      <c r="B26" s="1">
        <f t="shared" si="0"/>
        <v>21</v>
      </c>
      <c r="C26" s="1" t="s">
        <v>11</v>
      </c>
    </row>
    <row r="27" spans="2:3" x14ac:dyDescent="0.25">
      <c r="B27" s="1">
        <f t="shared" si="0"/>
        <v>22</v>
      </c>
      <c r="C27" s="1" t="s">
        <v>11</v>
      </c>
    </row>
    <row r="28" spans="2:3" x14ac:dyDescent="0.25">
      <c r="B28" s="1">
        <f>1+B27</f>
        <v>23</v>
      </c>
      <c r="C28" s="1" t="s">
        <v>11</v>
      </c>
    </row>
    <row r="29" spans="2:3" x14ac:dyDescent="0.25">
      <c r="B29" s="1">
        <f t="shared" si="0"/>
        <v>24</v>
      </c>
      <c r="C29" s="1" t="s">
        <v>16</v>
      </c>
    </row>
    <row r="30" spans="2:3" x14ac:dyDescent="0.25">
      <c r="B30" s="1">
        <f t="shared" si="0"/>
        <v>25</v>
      </c>
      <c r="C30" s="1" t="s">
        <v>16</v>
      </c>
    </row>
    <row r="31" spans="2:3" x14ac:dyDescent="0.25">
      <c r="B31" s="1">
        <f t="shared" si="0"/>
        <v>26</v>
      </c>
      <c r="C31" s="1"/>
    </row>
  </sheetData>
  <mergeCells count="1">
    <mergeCell ref="B3:C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F855-D9C7-4FEF-A069-982425AF6DC0}">
  <dimension ref="B2:D60"/>
  <sheetViews>
    <sheetView workbookViewId="0">
      <selection sqref="A1:D47"/>
    </sheetView>
  </sheetViews>
  <sheetFormatPr defaultRowHeight="15" x14ac:dyDescent="0.25"/>
  <cols>
    <col min="1" max="1" width="6.42578125" customWidth="1"/>
    <col min="2" max="2" width="36.7109375" customWidth="1"/>
    <col min="3" max="3" width="19.42578125" customWidth="1"/>
    <col min="4" max="4" width="18.140625" customWidth="1"/>
  </cols>
  <sheetData>
    <row r="2" spans="2:4" x14ac:dyDescent="0.25">
      <c r="B2" s="1" t="s">
        <v>12</v>
      </c>
    </row>
    <row r="4" spans="2:4" x14ac:dyDescent="0.25">
      <c r="B4" s="1" t="s">
        <v>13</v>
      </c>
      <c r="C4" s="1" t="s">
        <v>14</v>
      </c>
      <c r="D4" s="1" t="s">
        <v>15</v>
      </c>
    </row>
    <row r="5" spans="2:4" x14ac:dyDescent="0.25">
      <c r="B5" s="3"/>
      <c r="C5" s="3"/>
      <c r="D5" s="3"/>
    </row>
    <row r="6" spans="2:4" x14ac:dyDescent="0.25">
      <c r="B6" s="3"/>
      <c r="C6" s="3"/>
      <c r="D6" s="3"/>
    </row>
    <row r="7" spans="2:4" x14ac:dyDescent="0.25">
      <c r="B7" s="3"/>
      <c r="C7" s="3"/>
      <c r="D7" s="3"/>
    </row>
    <row r="8" spans="2:4" x14ac:dyDescent="0.25">
      <c r="B8" s="3"/>
      <c r="C8" s="3"/>
      <c r="D8" s="3"/>
    </row>
    <row r="9" spans="2:4" x14ac:dyDescent="0.25">
      <c r="B9" s="3"/>
      <c r="C9" s="3"/>
      <c r="D9" s="3"/>
    </row>
    <row r="10" spans="2:4" x14ac:dyDescent="0.25">
      <c r="B10" s="3"/>
      <c r="C10" s="3"/>
      <c r="D10" s="3"/>
    </row>
    <row r="11" spans="2:4" x14ac:dyDescent="0.25">
      <c r="B11" s="3"/>
      <c r="C11" s="3"/>
      <c r="D11" s="3"/>
    </row>
    <row r="12" spans="2:4" x14ac:dyDescent="0.25">
      <c r="B12" s="3"/>
      <c r="C12" s="3"/>
      <c r="D12" s="3"/>
    </row>
    <row r="13" spans="2:4" x14ac:dyDescent="0.25">
      <c r="B13" s="3"/>
      <c r="C13" s="3"/>
      <c r="D13" s="3"/>
    </row>
    <row r="14" spans="2:4" x14ac:dyDescent="0.25">
      <c r="B14" s="3"/>
      <c r="C14" s="3"/>
      <c r="D14" s="3"/>
    </row>
    <row r="15" spans="2:4" x14ac:dyDescent="0.25">
      <c r="B15" s="3"/>
      <c r="C15" s="3"/>
      <c r="D15" s="3"/>
    </row>
    <row r="16" spans="2:4" x14ac:dyDescent="0.25">
      <c r="B16" s="3"/>
      <c r="C16" s="3"/>
      <c r="D16" s="3"/>
    </row>
    <row r="17" spans="2:4" x14ac:dyDescent="0.25">
      <c r="B17" s="3"/>
      <c r="C17" s="3"/>
      <c r="D17" s="3"/>
    </row>
    <row r="18" spans="2:4" x14ac:dyDescent="0.25">
      <c r="B18" s="3"/>
      <c r="C18" s="3"/>
      <c r="D18" s="3"/>
    </row>
    <row r="19" spans="2:4" x14ac:dyDescent="0.25">
      <c r="B19" s="3"/>
      <c r="C19" s="3"/>
      <c r="D19" s="3"/>
    </row>
    <row r="20" spans="2:4" x14ac:dyDescent="0.25">
      <c r="B20" s="3"/>
      <c r="C20" s="3"/>
      <c r="D20" s="3"/>
    </row>
    <row r="21" spans="2:4" x14ac:dyDescent="0.25">
      <c r="B21" s="3"/>
      <c r="C21" s="3"/>
      <c r="D21" s="3"/>
    </row>
    <row r="22" spans="2:4" x14ac:dyDescent="0.25">
      <c r="B22" s="3"/>
      <c r="C22" s="3"/>
      <c r="D22" s="3"/>
    </row>
    <row r="23" spans="2:4" x14ac:dyDescent="0.25">
      <c r="B23" s="3"/>
      <c r="C23" s="3"/>
      <c r="D23" s="3"/>
    </row>
    <row r="24" spans="2:4" x14ac:dyDescent="0.25">
      <c r="B24" s="3"/>
      <c r="C24" s="3"/>
      <c r="D24" s="3"/>
    </row>
    <row r="25" spans="2:4" x14ac:dyDescent="0.25">
      <c r="B25" s="3"/>
      <c r="C25" s="3"/>
      <c r="D25" s="3"/>
    </row>
    <row r="26" spans="2:4" x14ac:dyDescent="0.25">
      <c r="B26" s="3"/>
      <c r="C26" s="3"/>
      <c r="D26" s="3"/>
    </row>
    <row r="27" spans="2:4" x14ac:dyDescent="0.25">
      <c r="B27" s="3"/>
      <c r="C27" s="3"/>
      <c r="D27" s="3"/>
    </row>
    <row r="28" spans="2:4" x14ac:dyDescent="0.25">
      <c r="B28" s="3"/>
      <c r="C28" s="3"/>
      <c r="D28" s="3"/>
    </row>
    <row r="29" spans="2:4" x14ac:dyDescent="0.25">
      <c r="B29" s="3"/>
      <c r="C29" s="3"/>
      <c r="D29" s="3"/>
    </row>
    <row r="30" spans="2:4" x14ac:dyDescent="0.25">
      <c r="B30" s="3"/>
      <c r="C30" s="3"/>
      <c r="D30" s="3"/>
    </row>
    <row r="31" spans="2:4" x14ac:dyDescent="0.25">
      <c r="B31" s="3"/>
      <c r="C31" s="3"/>
      <c r="D31" s="3"/>
    </row>
    <row r="32" spans="2:4" x14ac:dyDescent="0.25">
      <c r="B32" s="3"/>
      <c r="C32" s="3"/>
      <c r="D32" s="3"/>
    </row>
    <row r="33" spans="2:4" x14ac:dyDescent="0.25">
      <c r="B33" s="3"/>
      <c r="C33" s="3"/>
      <c r="D33" s="3"/>
    </row>
    <row r="34" spans="2:4" x14ac:dyDescent="0.25">
      <c r="B34" s="3"/>
      <c r="C34" s="3"/>
      <c r="D34" s="3"/>
    </row>
    <row r="35" spans="2:4" x14ac:dyDescent="0.25">
      <c r="B35" s="3"/>
      <c r="C35" s="3"/>
      <c r="D35" s="3"/>
    </row>
    <row r="36" spans="2:4" x14ac:dyDescent="0.25">
      <c r="B36" s="3"/>
      <c r="C36" s="3"/>
      <c r="D36" s="3"/>
    </row>
    <row r="37" spans="2:4" x14ac:dyDescent="0.25">
      <c r="B37" s="3"/>
      <c r="C37" s="3"/>
      <c r="D37" s="3"/>
    </row>
    <row r="38" spans="2:4" x14ac:dyDescent="0.25">
      <c r="B38" s="3"/>
      <c r="C38" s="3"/>
      <c r="D38" s="3"/>
    </row>
    <row r="39" spans="2:4" x14ac:dyDescent="0.25">
      <c r="B39" s="3"/>
      <c r="C39" s="3"/>
      <c r="D39" s="3"/>
    </row>
    <row r="40" spans="2:4" x14ac:dyDescent="0.25">
      <c r="B40" s="3"/>
      <c r="C40" s="3"/>
      <c r="D40" s="3"/>
    </row>
    <row r="41" spans="2:4" x14ac:dyDescent="0.25">
      <c r="B41" s="3"/>
      <c r="C41" s="3"/>
      <c r="D41" s="3"/>
    </row>
    <row r="42" spans="2:4" x14ac:dyDescent="0.25">
      <c r="B42" s="3"/>
      <c r="C42" s="3"/>
      <c r="D42" s="3"/>
    </row>
    <row r="43" spans="2:4" x14ac:dyDescent="0.25">
      <c r="B43" s="3"/>
      <c r="C43" s="3"/>
      <c r="D43" s="3"/>
    </row>
    <row r="44" spans="2:4" x14ac:dyDescent="0.25">
      <c r="B44" s="3"/>
      <c r="C44" s="3"/>
      <c r="D44" s="3"/>
    </row>
    <row r="45" spans="2:4" x14ac:dyDescent="0.25">
      <c r="B45" s="3"/>
      <c r="C45" s="3"/>
      <c r="D45" s="3"/>
    </row>
    <row r="46" spans="2:4" x14ac:dyDescent="0.25">
      <c r="B46" s="3"/>
      <c r="C46" s="3"/>
      <c r="D46" s="3"/>
    </row>
    <row r="47" spans="2:4" x14ac:dyDescent="0.25">
      <c r="B47" s="4"/>
      <c r="C47" s="4"/>
      <c r="D47" s="4"/>
    </row>
    <row r="48" spans="2:4" x14ac:dyDescent="0.25">
      <c r="B48" s="4"/>
      <c r="C48" s="4"/>
      <c r="D48" s="4"/>
    </row>
    <row r="49" spans="2:4" x14ac:dyDescent="0.25">
      <c r="B49" s="4"/>
      <c r="C49" s="4"/>
      <c r="D49" s="4"/>
    </row>
    <row r="50" spans="2:4" x14ac:dyDescent="0.25">
      <c r="B50" s="4"/>
      <c r="C50" s="4"/>
      <c r="D50" s="4"/>
    </row>
    <row r="51" spans="2:4" x14ac:dyDescent="0.25">
      <c r="B51" s="4"/>
      <c r="C51" s="4"/>
      <c r="D51" s="4"/>
    </row>
    <row r="52" spans="2:4" x14ac:dyDescent="0.25">
      <c r="B52" s="4"/>
      <c r="C52" s="4"/>
      <c r="D52" s="4"/>
    </row>
    <row r="53" spans="2:4" x14ac:dyDescent="0.25">
      <c r="B53" s="4"/>
      <c r="C53" s="4"/>
      <c r="D53" s="4"/>
    </row>
    <row r="54" spans="2:4" x14ac:dyDescent="0.25">
      <c r="B54" s="4"/>
      <c r="C54" s="4"/>
      <c r="D54" s="4"/>
    </row>
    <row r="55" spans="2:4" x14ac:dyDescent="0.25">
      <c r="B55" s="4"/>
      <c r="C55" s="4"/>
      <c r="D55" s="4"/>
    </row>
    <row r="56" spans="2:4" x14ac:dyDescent="0.25">
      <c r="B56" s="4"/>
      <c r="C56" s="4"/>
      <c r="D56" s="4"/>
    </row>
    <row r="57" spans="2:4" x14ac:dyDescent="0.25">
      <c r="B57" s="4"/>
      <c r="C57" s="4"/>
      <c r="D57" s="4"/>
    </row>
    <row r="58" spans="2:4" x14ac:dyDescent="0.25">
      <c r="B58" s="4"/>
      <c r="C58" s="4"/>
      <c r="D58" s="4"/>
    </row>
    <row r="59" spans="2:4" x14ac:dyDescent="0.25">
      <c r="B59" s="4"/>
      <c r="C59" s="4"/>
      <c r="D59" s="4"/>
    </row>
    <row r="60" spans="2:4" x14ac:dyDescent="0.25">
      <c r="B60" s="4"/>
      <c r="C60" s="4"/>
      <c r="D60" s="4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79CF-16B9-425C-8793-F4C10A0F7248}">
  <dimension ref="B1:K29"/>
  <sheetViews>
    <sheetView tabSelected="1" workbookViewId="0">
      <selection activeCell="H25" sqref="H25"/>
    </sheetView>
  </sheetViews>
  <sheetFormatPr defaultRowHeight="15" x14ac:dyDescent="0.25"/>
  <cols>
    <col min="2" max="2" width="34.28515625" bestFit="1" customWidth="1"/>
    <col min="3" max="3" width="10.28515625" bestFit="1" customWidth="1"/>
    <col min="4" max="4" width="8.28515625" bestFit="1" customWidth="1"/>
    <col min="5" max="5" width="11.5703125" bestFit="1" customWidth="1"/>
    <col min="8" max="8" width="34.28515625" bestFit="1" customWidth="1"/>
    <col min="9" max="9" width="10.28515625" bestFit="1" customWidth="1"/>
    <col min="10" max="10" width="8.28515625" bestFit="1" customWidth="1"/>
    <col min="11" max="11" width="11.5703125" bestFit="1" customWidth="1"/>
  </cols>
  <sheetData>
    <row r="1" spans="2:11" ht="15.75" thickBot="1" x14ac:dyDescent="0.3"/>
    <row r="2" spans="2:11" x14ac:dyDescent="0.25">
      <c r="B2" s="14" t="s">
        <v>32</v>
      </c>
      <c r="C2" s="15"/>
      <c r="D2" s="15"/>
      <c r="E2" s="16"/>
      <c r="H2" s="14" t="s">
        <v>31</v>
      </c>
      <c r="I2" s="15"/>
      <c r="J2" s="15"/>
      <c r="K2" s="16"/>
    </row>
    <row r="3" spans="2:11" x14ac:dyDescent="0.25">
      <c r="B3" s="8" t="s">
        <v>13</v>
      </c>
      <c r="C3" s="6" t="s">
        <v>14</v>
      </c>
      <c r="D3" s="6" t="s">
        <v>18</v>
      </c>
      <c r="E3" s="10" t="s">
        <v>15</v>
      </c>
      <c r="H3" s="8" t="s">
        <v>13</v>
      </c>
      <c r="I3" s="6" t="s">
        <v>14</v>
      </c>
      <c r="J3" s="6" t="s">
        <v>18</v>
      </c>
      <c r="K3" s="10" t="s">
        <v>15</v>
      </c>
    </row>
    <row r="4" spans="2:11" x14ac:dyDescent="0.25">
      <c r="B4" s="11" t="s">
        <v>17</v>
      </c>
      <c r="C4" s="5">
        <v>480</v>
      </c>
      <c r="D4" s="5">
        <f>C4*25</f>
        <v>12000</v>
      </c>
      <c r="E4" s="7">
        <v>6011</v>
      </c>
      <c r="H4" s="11" t="s">
        <v>19</v>
      </c>
      <c r="I4" s="5">
        <f>32+32+12</f>
        <v>76</v>
      </c>
      <c r="J4" s="5">
        <f>I4*25</f>
        <v>1900</v>
      </c>
      <c r="K4" s="7">
        <v>6012</v>
      </c>
    </row>
    <row r="5" spans="2:11" x14ac:dyDescent="0.25">
      <c r="B5" s="11"/>
      <c r="C5" s="5"/>
      <c r="D5" s="5"/>
      <c r="E5" s="7"/>
      <c r="H5" s="11"/>
      <c r="I5" s="5">
        <f>32+11</f>
        <v>43</v>
      </c>
      <c r="J5" s="5">
        <f t="shared" ref="J5:J7" si="0">I5*25</f>
        <v>1075</v>
      </c>
      <c r="K5" s="7">
        <v>6020</v>
      </c>
    </row>
    <row r="6" spans="2:11" x14ac:dyDescent="0.25">
      <c r="B6" s="11"/>
      <c r="C6" s="5"/>
      <c r="D6" s="5"/>
      <c r="E6" s="7"/>
      <c r="H6" s="11"/>
      <c r="I6" s="5">
        <f>128+4</f>
        <v>132</v>
      </c>
      <c r="J6" s="5">
        <f t="shared" si="0"/>
        <v>3300</v>
      </c>
      <c r="K6" s="7">
        <v>6036</v>
      </c>
    </row>
    <row r="7" spans="2:11" x14ac:dyDescent="0.25">
      <c r="B7" s="11"/>
      <c r="C7" s="5"/>
      <c r="D7" s="5"/>
      <c r="E7" s="7"/>
      <c r="H7" s="11"/>
      <c r="I7" s="5">
        <f>96+24+16</f>
        <v>136</v>
      </c>
      <c r="J7" s="5">
        <f t="shared" si="0"/>
        <v>3400</v>
      </c>
      <c r="K7" s="7">
        <v>6037</v>
      </c>
    </row>
    <row r="8" spans="2:11" x14ac:dyDescent="0.25">
      <c r="B8" s="8" t="s">
        <v>20</v>
      </c>
      <c r="C8" s="6">
        <v>480</v>
      </c>
      <c r="D8" s="6">
        <v>12000</v>
      </c>
      <c r="E8" s="9"/>
      <c r="H8" s="8" t="s">
        <v>20</v>
      </c>
      <c r="I8" s="6">
        <f>SUM(I4:I7)</f>
        <v>387</v>
      </c>
      <c r="J8" s="6">
        <f>SUM(J4:J7)</f>
        <v>9675</v>
      </c>
      <c r="K8" s="9"/>
    </row>
    <row r="9" spans="2:11" x14ac:dyDescent="0.25">
      <c r="B9" s="11" t="s">
        <v>21</v>
      </c>
      <c r="C9" s="5">
        <f>8+32+32+32+32+32</f>
        <v>168</v>
      </c>
      <c r="D9" s="5">
        <f>C9*50</f>
        <v>8400</v>
      </c>
      <c r="E9" s="7">
        <v>6012</v>
      </c>
      <c r="H9" s="11" t="s">
        <v>21</v>
      </c>
      <c r="I9" s="5">
        <v>32</v>
      </c>
      <c r="J9" s="5">
        <f>I9*50</f>
        <v>1600</v>
      </c>
      <c r="K9" s="7">
        <v>6012</v>
      </c>
    </row>
    <row r="10" spans="2:11" x14ac:dyDescent="0.25">
      <c r="B10" s="8" t="s">
        <v>20</v>
      </c>
      <c r="C10" s="6">
        <f>SUM(C9:C9)</f>
        <v>168</v>
      </c>
      <c r="D10" s="6">
        <f>SUM(D9:D9)</f>
        <v>8400</v>
      </c>
      <c r="E10" s="9"/>
      <c r="H10" s="8" t="s">
        <v>20</v>
      </c>
      <c r="I10" s="6">
        <f>SUM(I9:I9)</f>
        <v>32</v>
      </c>
      <c r="J10" s="6">
        <f>SUM(J9:J9)</f>
        <v>1600</v>
      </c>
      <c r="K10" s="9"/>
    </row>
    <row r="11" spans="2:11" x14ac:dyDescent="0.25">
      <c r="B11" s="11" t="s">
        <v>22</v>
      </c>
      <c r="C11" s="5">
        <f>192+8</f>
        <v>200</v>
      </c>
      <c r="D11" s="5">
        <f>C11*50</f>
        <v>10000</v>
      </c>
      <c r="E11" s="7">
        <v>6020</v>
      </c>
      <c r="H11" s="11" t="s">
        <v>22</v>
      </c>
      <c r="I11" s="5">
        <v>33</v>
      </c>
      <c r="J11" s="5">
        <f>I11*50</f>
        <v>1650</v>
      </c>
      <c r="K11" s="7">
        <v>5119</v>
      </c>
    </row>
    <row r="12" spans="2:11" ht="15.75" thickBot="1" x14ac:dyDescent="0.3">
      <c r="B12" s="8" t="s">
        <v>20</v>
      </c>
      <c r="C12" s="6">
        <f>SUM(C11:C11)</f>
        <v>200</v>
      </c>
      <c r="D12" s="6">
        <f>SUM(D11:D11)</f>
        <v>10000</v>
      </c>
      <c r="E12" s="9"/>
      <c r="H12" s="20" t="s">
        <v>20</v>
      </c>
      <c r="I12" s="21">
        <f>SUM(I11:I11)</f>
        <v>33</v>
      </c>
      <c r="J12" s="21">
        <f>SUM(J11:J11)</f>
        <v>1650</v>
      </c>
      <c r="K12" s="22"/>
    </row>
    <row r="13" spans="2:11" x14ac:dyDescent="0.25">
      <c r="B13" s="11" t="s">
        <v>23</v>
      </c>
      <c r="C13" s="5">
        <f>360+34</f>
        <v>394</v>
      </c>
      <c r="D13" s="5">
        <f>C13*25</f>
        <v>9850</v>
      </c>
      <c r="E13" s="7">
        <v>6044</v>
      </c>
      <c r="H13" s="18"/>
      <c r="I13" s="19"/>
      <c r="J13" s="19"/>
      <c r="K13" s="19"/>
    </row>
    <row r="14" spans="2:11" x14ac:dyDescent="0.25">
      <c r="B14" s="8" t="s">
        <v>20</v>
      </c>
      <c r="C14" s="6">
        <f>SUM(C13)</f>
        <v>394</v>
      </c>
      <c r="D14" s="6">
        <f>SUM(D13)</f>
        <v>9850</v>
      </c>
      <c r="E14" s="10"/>
      <c r="H14" s="18"/>
      <c r="I14" s="18"/>
      <c r="J14" s="18"/>
      <c r="K14" s="18"/>
    </row>
    <row r="15" spans="2:11" x14ac:dyDescent="0.25">
      <c r="B15" s="12" t="s">
        <v>24</v>
      </c>
      <c r="C15" s="5">
        <f>60+60+58</f>
        <v>178</v>
      </c>
      <c r="D15" s="5">
        <f>C15*25</f>
        <v>4450</v>
      </c>
      <c r="E15" s="7">
        <v>25120</v>
      </c>
      <c r="H15" s="18"/>
      <c r="I15" s="19"/>
      <c r="J15" s="19"/>
      <c r="K15" s="19"/>
    </row>
    <row r="16" spans="2:11" x14ac:dyDescent="0.25">
      <c r="B16" s="8" t="s">
        <v>20</v>
      </c>
      <c r="C16" s="6">
        <f>SUM(C15)</f>
        <v>178</v>
      </c>
      <c r="D16" s="6">
        <f>SUM(D15)</f>
        <v>4450</v>
      </c>
      <c r="E16" s="10"/>
      <c r="H16" s="18"/>
      <c r="I16" s="18"/>
      <c r="J16" s="18"/>
      <c r="K16" s="18"/>
    </row>
    <row r="17" spans="2:11" x14ac:dyDescent="0.25">
      <c r="B17" s="12" t="s">
        <v>25</v>
      </c>
      <c r="C17" s="5">
        <f>600+48+7</f>
        <v>655</v>
      </c>
      <c r="D17" s="5">
        <f>C17*25</f>
        <v>16375</v>
      </c>
      <c r="E17" s="7">
        <v>25120</v>
      </c>
      <c r="H17" s="18"/>
      <c r="I17" s="19"/>
      <c r="J17" s="19"/>
      <c r="K17" s="19"/>
    </row>
    <row r="18" spans="2:11" x14ac:dyDescent="0.25">
      <c r="B18" s="8" t="s">
        <v>20</v>
      </c>
      <c r="C18" s="6">
        <f>SUM(C17)</f>
        <v>655</v>
      </c>
      <c r="D18" s="6">
        <f>SUM(D17)</f>
        <v>16375</v>
      </c>
      <c r="E18" s="10"/>
      <c r="H18" s="18"/>
      <c r="I18" s="18"/>
      <c r="J18" s="18"/>
      <c r="K18" s="18"/>
    </row>
    <row r="19" spans="2:11" x14ac:dyDescent="0.25">
      <c r="B19" s="12" t="s">
        <v>26</v>
      </c>
      <c r="C19" s="5">
        <v>28</v>
      </c>
      <c r="D19" s="5">
        <f>C19*80</f>
        <v>2240</v>
      </c>
      <c r="E19" s="7">
        <v>24307</v>
      </c>
      <c r="H19" s="18"/>
      <c r="I19" s="19"/>
      <c r="J19" s="19"/>
      <c r="K19" s="19"/>
    </row>
    <row r="20" spans="2:11" x14ac:dyDescent="0.25">
      <c r="B20" s="8" t="s">
        <v>20</v>
      </c>
      <c r="C20" s="6">
        <f>SUM(C19)</f>
        <v>28</v>
      </c>
      <c r="D20" s="6">
        <f>SUM(D19)</f>
        <v>2240</v>
      </c>
      <c r="E20" s="10"/>
      <c r="H20" s="18"/>
      <c r="I20" s="18"/>
      <c r="J20" s="18"/>
      <c r="K20" s="18"/>
    </row>
    <row r="21" spans="2:11" x14ac:dyDescent="0.25">
      <c r="B21" s="12" t="s">
        <v>27</v>
      </c>
      <c r="C21" s="5">
        <f>40+40+40+40+5</f>
        <v>165</v>
      </c>
      <c r="D21" s="5">
        <f>C21*25</f>
        <v>4125</v>
      </c>
      <c r="E21" s="7">
        <v>25212</v>
      </c>
      <c r="H21" s="18"/>
      <c r="I21" s="19"/>
      <c r="J21" s="19"/>
      <c r="K21" s="19"/>
    </row>
    <row r="22" spans="2:11" x14ac:dyDescent="0.25">
      <c r="B22" s="17"/>
      <c r="C22" s="5">
        <f>40+40+34</f>
        <v>114</v>
      </c>
      <c r="D22" s="5">
        <f t="shared" ref="D22:D24" si="1">C22*25</f>
        <v>2850</v>
      </c>
      <c r="E22" s="7">
        <v>25134</v>
      </c>
      <c r="H22" s="19"/>
      <c r="I22" s="19"/>
      <c r="J22" s="19"/>
      <c r="K22" s="19"/>
    </row>
    <row r="23" spans="2:11" x14ac:dyDescent="0.25">
      <c r="B23" s="17"/>
      <c r="C23" s="5">
        <v>22</v>
      </c>
      <c r="D23" s="5">
        <f t="shared" si="1"/>
        <v>550</v>
      </c>
      <c r="E23" s="7">
        <v>25213</v>
      </c>
      <c r="H23" s="19"/>
      <c r="I23" s="19"/>
      <c r="J23" s="19"/>
      <c r="K23" s="19"/>
    </row>
    <row r="24" spans="2:11" x14ac:dyDescent="0.25">
      <c r="B24" s="17"/>
      <c r="C24" s="5">
        <v>11</v>
      </c>
      <c r="D24" s="5">
        <f t="shared" si="1"/>
        <v>275</v>
      </c>
      <c r="E24" s="7">
        <v>25133</v>
      </c>
      <c r="H24" s="19"/>
      <c r="I24" s="19"/>
      <c r="J24" s="19"/>
      <c r="K24" s="19"/>
    </row>
    <row r="25" spans="2:11" x14ac:dyDescent="0.25">
      <c r="B25" s="8" t="s">
        <v>20</v>
      </c>
      <c r="C25" s="6">
        <f>SUM(C21:C24)</f>
        <v>312</v>
      </c>
      <c r="D25" s="6">
        <f>SUM(D21:D24)</f>
        <v>7800</v>
      </c>
      <c r="E25" s="10"/>
      <c r="H25" s="18"/>
      <c r="I25" s="18"/>
      <c r="J25" s="18"/>
      <c r="K25" s="18"/>
    </row>
    <row r="26" spans="2:11" x14ac:dyDescent="0.25">
      <c r="B26" s="12" t="s">
        <v>28</v>
      </c>
      <c r="C26" s="5">
        <f>23+46</f>
        <v>69</v>
      </c>
      <c r="D26" s="5">
        <f>C26*25</f>
        <v>1725</v>
      </c>
      <c r="E26" s="7">
        <v>24289</v>
      </c>
      <c r="H26" s="18"/>
      <c r="I26" s="19"/>
      <c r="J26" s="19"/>
      <c r="K26" s="19"/>
    </row>
    <row r="27" spans="2:11" x14ac:dyDescent="0.25">
      <c r="B27" s="8" t="s">
        <v>20</v>
      </c>
      <c r="C27" s="6">
        <f>SUM(C26)</f>
        <v>69</v>
      </c>
      <c r="D27" s="6">
        <f>SUM(D26)</f>
        <v>1725</v>
      </c>
      <c r="E27" s="10"/>
      <c r="H27" s="18"/>
      <c r="I27" s="18"/>
      <c r="J27" s="18"/>
      <c r="K27" s="18"/>
    </row>
    <row r="28" spans="2:11" x14ac:dyDescent="0.25">
      <c r="B28" s="13" t="s">
        <v>29</v>
      </c>
      <c r="C28" s="5">
        <v>240</v>
      </c>
      <c r="D28" s="5">
        <f>C28*55</f>
        <v>13200</v>
      </c>
      <c r="E28" s="7" t="s">
        <v>30</v>
      </c>
      <c r="H28" s="18"/>
      <c r="I28" s="19"/>
      <c r="J28" s="19"/>
      <c r="K28" s="19"/>
    </row>
    <row r="29" spans="2:11" x14ac:dyDescent="0.25">
      <c r="B29" s="8" t="s">
        <v>20</v>
      </c>
      <c r="C29" s="6">
        <f>SUM(C28)</f>
        <v>240</v>
      </c>
      <c r="D29" s="6">
        <f>SUM(D28)</f>
        <v>13200</v>
      </c>
      <c r="E29" s="10"/>
      <c r="H29" s="18"/>
      <c r="I29" s="18"/>
      <c r="J29" s="18"/>
      <c r="K29" s="18"/>
    </row>
  </sheetData>
  <mergeCells count="2">
    <mergeCell ref="B2:E2"/>
    <mergeCell ref="H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Inventory Format</vt:lpstr>
      <vt:lpstr>Coconut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David Pilay Goya</dc:creator>
  <cp:lastModifiedBy>Arturo David Pilay Goya</cp:lastModifiedBy>
  <cp:lastPrinted>2026-05-13T16:59:08Z</cp:lastPrinted>
  <dcterms:created xsi:type="dcterms:W3CDTF">2026-05-05T15:47:18Z</dcterms:created>
  <dcterms:modified xsi:type="dcterms:W3CDTF">2026-05-14T14:59:27Z</dcterms:modified>
</cp:coreProperties>
</file>